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予定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aaa"/>
  </numFmts>
  <fonts count="8">
    <font>
      <name val="Calibri"/>
      <family val="2"/>
      <color theme="1"/>
      <sz val="11"/>
      <scheme val="minor"/>
    </font>
    <font>
      <name val="Meiryo"/>
      <b val="1"/>
      <sz val="11"/>
    </font>
    <font>
      <name val="Meiryo"/>
      <sz val="10"/>
    </font>
    <font>
      <name val="Meiryo"/>
      <sz val="11"/>
    </font>
    <font>
      <name val="Meiryo"/>
      <b val="1"/>
      <color rgb="00B45309"/>
      <sz val="10"/>
    </font>
    <font>
      <name val="Meiryo"/>
      <color rgb="00000000"/>
      <sz val="10"/>
    </font>
    <font>
      <name val="Meiryo"/>
      <color rgb="00B91C1C"/>
      <sz val="9"/>
    </font>
    <font>
      <name val="Meiryo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FFF2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164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bgColor rgb="00FFD6D6"/>
        </patternFill>
      </fill>
    </dxf>
    <dxf>
      <font>
        <color rgb="00B91C1C"/>
      </font>
      <fill>
        <patternFill patternType="solid">
          <bgColor rgb="00FDECEC"/>
        </patternFill>
      </fill>
    </dxf>
    <dxf>
      <font>
        <color rgb="001D4ED8"/>
      </font>
      <fill>
        <patternFill patternType="solid">
          <bgColor rgb="00E8F0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L26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2.2" customWidth="1" min="33" max="33"/>
    <col width="6" customWidth="1" min="34" max="34"/>
    <col width="7" customWidth="1" min="35" max="35"/>
    <col width="2.2" customWidth="1" min="36" max="36"/>
    <col width="12" customWidth="1" min="37" max="37"/>
    <col width="16" customWidth="1" min="38" max="38"/>
  </cols>
  <sheetData>
    <row r="2">
      <c r="AH2" s="7" t="inlineStr">
        <is>
          <t>この2つを書き換えると、5ヶ月ぶん全部が変わります</t>
        </is>
      </c>
    </row>
    <row r="3">
      <c r="AH3" s="1" t="inlineStr">
        <is>
          <t>月</t>
        </is>
      </c>
      <c r="AI3" s="1" t="inlineStr">
        <is>
          <t>年</t>
        </is>
      </c>
    </row>
    <row r="4">
      <c r="A4" s="1" t="inlineStr">
        <is>
          <t>日</t>
        </is>
      </c>
      <c r="B4" s="2" t="n">
        <v>1</v>
      </c>
      <c r="C4" s="2" t="n">
        <v>2</v>
      </c>
      <c r="D4" s="2" t="n">
        <v>3</v>
      </c>
      <c r="E4" s="2" t="n">
        <v>4</v>
      </c>
      <c r="F4" s="2" t="n">
        <v>5</v>
      </c>
      <c r="G4" s="2" t="n">
        <v>6</v>
      </c>
      <c r="H4" s="2" t="n">
        <v>7</v>
      </c>
      <c r="I4" s="2" t="n">
        <v>8</v>
      </c>
      <c r="J4" s="2" t="n">
        <v>9</v>
      </c>
      <c r="K4" s="2" t="n">
        <v>10</v>
      </c>
      <c r="L4" s="2" t="n">
        <v>11</v>
      </c>
      <c r="M4" s="2" t="n">
        <v>12</v>
      </c>
      <c r="N4" s="2" t="n">
        <v>13</v>
      </c>
      <c r="O4" s="2" t="n">
        <v>14</v>
      </c>
      <c r="P4" s="2" t="n">
        <v>15</v>
      </c>
      <c r="Q4" s="2" t="n">
        <v>16</v>
      </c>
      <c r="R4" s="2" t="n">
        <v>17</v>
      </c>
      <c r="S4" s="2" t="n">
        <v>18</v>
      </c>
      <c r="T4" s="2" t="n">
        <v>19</v>
      </c>
      <c r="U4" s="2" t="n">
        <v>20</v>
      </c>
      <c r="V4" s="2" t="n">
        <v>21</v>
      </c>
      <c r="W4" s="2" t="n">
        <v>22</v>
      </c>
      <c r="X4" s="2" t="n">
        <v>23</v>
      </c>
      <c r="Y4" s="2" t="n">
        <v>24</v>
      </c>
      <c r="Z4" s="2" t="n">
        <v>25</v>
      </c>
      <c r="AA4" s="2" t="n">
        <v>26</v>
      </c>
      <c r="AB4" s="2" t="n">
        <v>27</v>
      </c>
      <c r="AC4" s="2" t="n">
        <v>28</v>
      </c>
      <c r="AD4" s="9">
        <f>IF(DAY(DATE($AI4,$AH4,29))=29,29,"")</f>
        <v/>
      </c>
      <c r="AE4" s="9">
        <f>IF(DAY(DATE($AI4,$AH4,30))=30,30,"")</f>
        <v/>
      </c>
      <c r="AF4" s="9">
        <f>IF(DAY(DATE($AI4,$AH4,31))=31,31,"")</f>
        <v/>
      </c>
      <c r="AH4" s="3" t="n">
        <v>10</v>
      </c>
      <c r="AI4" s="3" t="n">
        <v>2026</v>
      </c>
      <c r="AK4" s="1" t="inlineStr">
        <is>
          <t>日付</t>
        </is>
      </c>
      <c r="AL4" s="1" t="inlineStr">
        <is>
          <t>祝日名</t>
        </is>
      </c>
    </row>
    <row r="5">
      <c r="A5" s="1" t="inlineStr">
        <is>
          <t>曜</t>
        </is>
      </c>
      <c r="B5" s="10">
        <f>IF(B4="","",DATE($AI4,$AH4,B4))</f>
        <v/>
      </c>
      <c r="C5" s="10">
        <f>IF(C4="","",DATE($AI4,$AH4,C4))</f>
        <v/>
      </c>
      <c r="D5" s="10">
        <f>IF(D4="","",DATE($AI4,$AH4,D4))</f>
        <v/>
      </c>
      <c r="E5" s="10">
        <f>IF(E4="","",DATE($AI4,$AH4,E4))</f>
        <v/>
      </c>
      <c r="F5" s="10">
        <f>IF(F4="","",DATE($AI4,$AH4,F4))</f>
        <v/>
      </c>
      <c r="G5" s="10">
        <f>IF(G4="","",DATE($AI4,$AH4,G4))</f>
        <v/>
      </c>
      <c r="H5" s="10">
        <f>IF(H4="","",DATE($AI4,$AH4,H4))</f>
        <v/>
      </c>
      <c r="I5" s="10">
        <f>IF(I4="","",DATE($AI4,$AH4,I4))</f>
        <v/>
      </c>
      <c r="J5" s="10">
        <f>IF(J4="","",DATE($AI4,$AH4,J4))</f>
        <v/>
      </c>
      <c r="K5" s="10">
        <f>IF(K4="","",DATE($AI4,$AH4,K4))</f>
        <v/>
      </c>
      <c r="L5" s="10">
        <f>IF(L4="","",DATE($AI4,$AH4,L4))</f>
        <v/>
      </c>
      <c r="M5" s="10">
        <f>IF(M4="","",DATE($AI4,$AH4,M4))</f>
        <v/>
      </c>
      <c r="N5" s="10">
        <f>IF(N4="","",DATE($AI4,$AH4,N4))</f>
        <v/>
      </c>
      <c r="O5" s="10">
        <f>IF(O4="","",DATE($AI4,$AH4,O4))</f>
        <v/>
      </c>
      <c r="P5" s="10">
        <f>IF(P4="","",DATE($AI4,$AH4,P4))</f>
        <v/>
      </c>
      <c r="Q5" s="10">
        <f>IF(Q4="","",DATE($AI4,$AH4,Q4))</f>
        <v/>
      </c>
      <c r="R5" s="10">
        <f>IF(R4="","",DATE($AI4,$AH4,R4))</f>
        <v/>
      </c>
      <c r="S5" s="10">
        <f>IF(S4="","",DATE($AI4,$AH4,S4))</f>
        <v/>
      </c>
      <c r="T5" s="10">
        <f>IF(T4="","",DATE($AI4,$AH4,T4))</f>
        <v/>
      </c>
      <c r="U5" s="10">
        <f>IF(U4="","",DATE($AI4,$AH4,U4))</f>
        <v/>
      </c>
      <c r="V5" s="10">
        <f>IF(V4="","",DATE($AI4,$AH4,V4))</f>
        <v/>
      </c>
      <c r="W5" s="10">
        <f>IF(W4="","",DATE($AI4,$AH4,W4))</f>
        <v/>
      </c>
      <c r="X5" s="10">
        <f>IF(X4="","",DATE($AI4,$AH4,X4))</f>
        <v/>
      </c>
      <c r="Y5" s="10">
        <f>IF(Y4="","",DATE($AI4,$AH4,Y4))</f>
        <v/>
      </c>
      <c r="Z5" s="10">
        <f>IF(Z4="","",DATE($AI4,$AH4,Z4))</f>
        <v/>
      </c>
      <c r="AA5" s="10">
        <f>IF(AA4="","",DATE($AI4,$AH4,AA4))</f>
        <v/>
      </c>
      <c r="AB5" s="10">
        <f>IF(AB4="","",DATE($AI4,$AH4,AB4))</f>
        <v/>
      </c>
      <c r="AC5" s="10">
        <f>IF(AC4="","",DATE($AI4,$AH4,AC4))</f>
        <v/>
      </c>
      <c r="AD5" s="10">
        <f>IF(AD4="","",DATE($AI4,$AH4,AD4))</f>
        <v/>
      </c>
      <c r="AE5" s="10">
        <f>IF(AE4="","",DATE($AI4,$AH4,AE4))</f>
        <v/>
      </c>
      <c r="AF5" s="10">
        <f>IF(AF4="","",DATE($AI4,$AH4,AF4))</f>
        <v/>
      </c>
      <c r="AK5" s="8" t="n">
        <v>46023</v>
      </c>
      <c r="AL5" s="5" t="inlineStr">
        <is>
          <t>元日</t>
        </is>
      </c>
    </row>
    <row r="6">
      <c r="A6" s="1" t="inlineStr">
        <is>
          <t>祝</t>
        </is>
      </c>
      <c r="B6" s="11">
        <f>IF(B4="","",IF(COUNTIF($AK$5:$AK$39,B5),VLOOKUP(B5,$AK$5:$AL$39,2,0),""))</f>
        <v/>
      </c>
      <c r="C6" s="11">
        <f>IF(C4="","",IF(COUNTIF($AK$5:$AK$39,C5),VLOOKUP(C5,$AK$5:$AL$39,2,0),""))</f>
        <v/>
      </c>
      <c r="D6" s="11">
        <f>IF(D4="","",IF(COUNTIF($AK$5:$AK$39,D5),VLOOKUP(D5,$AK$5:$AL$39,2,0),""))</f>
        <v/>
      </c>
      <c r="E6" s="11">
        <f>IF(E4="","",IF(COUNTIF($AK$5:$AK$39,E5),VLOOKUP(E5,$AK$5:$AL$39,2,0),""))</f>
        <v/>
      </c>
      <c r="F6" s="11">
        <f>IF(F4="","",IF(COUNTIF($AK$5:$AK$39,F5),VLOOKUP(F5,$AK$5:$AL$39,2,0),""))</f>
        <v/>
      </c>
      <c r="G6" s="11">
        <f>IF(G4="","",IF(COUNTIF($AK$5:$AK$39,G5),VLOOKUP(G5,$AK$5:$AL$39,2,0),""))</f>
        <v/>
      </c>
      <c r="H6" s="11">
        <f>IF(H4="","",IF(COUNTIF($AK$5:$AK$39,H5),VLOOKUP(H5,$AK$5:$AL$39,2,0),""))</f>
        <v/>
      </c>
      <c r="I6" s="11">
        <f>IF(I4="","",IF(COUNTIF($AK$5:$AK$39,I5),VLOOKUP(I5,$AK$5:$AL$39,2,0),""))</f>
        <v/>
      </c>
      <c r="J6" s="11">
        <f>IF(J4="","",IF(COUNTIF($AK$5:$AK$39,J5),VLOOKUP(J5,$AK$5:$AL$39,2,0),""))</f>
        <v/>
      </c>
      <c r="K6" s="11">
        <f>IF(K4="","",IF(COUNTIF($AK$5:$AK$39,K5),VLOOKUP(K5,$AK$5:$AL$39,2,0),""))</f>
        <v/>
      </c>
      <c r="L6" s="11">
        <f>IF(L4="","",IF(COUNTIF($AK$5:$AK$39,L5),VLOOKUP(L5,$AK$5:$AL$39,2,0),""))</f>
        <v/>
      </c>
      <c r="M6" s="11">
        <f>IF(M4="","",IF(COUNTIF($AK$5:$AK$39,M5),VLOOKUP(M5,$AK$5:$AL$39,2,0),""))</f>
        <v/>
      </c>
      <c r="N6" s="11">
        <f>IF(N4="","",IF(COUNTIF($AK$5:$AK$39,N5),VLOOKUP(N5,$AK$5:$AL$39,2,0),""))</f>
        <v/>
      </c>
      <c r="O6" s="11">
        <f>IF(O4="","",IF(COUNTIF($AK$5:$AK$39,O5),VLOOKUP(O5,$AK$5:$AL$39,2,0),""))</f>
        <v/>
      </c>
      <c r="P6" s="11">
        <f>IF(P4="","",IF(COUNTIF($AK$5:$AK$39,P5),VLOOKUP(P5,$AK$5:$AL$39,2,0),""))</f>
        <v/>
      </c>
      <c r="Q6" s="11">
        <f>IF(Q4="","",IF(COUNTIF($AK$5:$AK$39,Q5),VLOOKUP(Q5,$AK$5:$AL$39,2,0),""))</f>
        <v/>
      </c>
      <c r="R6" s="11">
        <f>IF(R4="","",IF(COUNTIF($AK$5:$AK$39,R5),VLOOKUP(R5,$AK$5:$AL$39,2,0),""))</f>
        <v/>
      </c>
      <c r="S6" s="11">
        <f>IF(S4="","",IF(COUNTIF($AK$5:$AK$39,S5),VLOOKUP(S5,$AK$5:$AL$39,2,0),""))</f>
        <v/>
      </c>
      <c r="T6" s="11">
        <f>IF(T4="","",IF(COUNTIF($AK$5:$AK$39,T5),VLOOKUP(T5,$AK$5:$AL$39,2,0),""))</f>
        <v/>
      </c>
      <c r="U6" s="11">
        <f>IF(U4="","",IF(COUNTIF($AK$5:$AK$39,U5),VLOOKUP(U5,$AK$5:$AL$39,2,0),""))</f>
        <v/>
      </c>
      <c r="V6" s="11">
        <f>IF(V4="","",IF(COUNTIF($AK$5:$AK$39,V5),VLOOKUP(V5,$AK$5:$AL$39,2,0),""))</f>
        <v/>
      </c>
      <c r="W6" s="11">
        <f>IF(W4="","",IF(COUNTIF($AK$5:$AK$39,W5),VLOOKUP(W5,$AK$5:$AL$39,2,0),""))</f>
        <v/>
      </c>
      <c r="X6" s="11">
        <f>IF(X4="","",IF(COUNTIF($AK$5:$AK$39,X5),VLOOKUP(X5,$AK$5:$AL$39,2,0),""))</f>
        <v/>
      </c>
      <c r="Y6" s="11">
        <f>IF(Y4="","",IF(COUNTIF($AK$5:$AK$39,Y5),VLOOKUP(Y5,$AK$5:$AL$39,2,0),""))</f>
        <v/>
      </c>
      <c r="Z6" s="11">
        <f>IF(Z4="","",IF(COUNTIF($AK$5:$AK$39,Z5),VLOOKUP(Z5,$AK$5:$AL$39,2,0),""))</f>
        <v/>
      </c>
      <c r="AA6" s="11">
        <f>IF(AA4="","",IF(COUNTIF($AK$5:$AK$39,AA5),VLOOKUP(AA5,$AK$5:$AL$39,2,0),""))</f>
        <v/>
      </c>
      <c r="AB6" s="11">
        <f>IF(AB4="","",IF(COUNTIF($AK$5:$AK$39,AB5),VLOOKUP(AB5,$AK$5:$AL$39,2,0),""))</f>
        <v/>
      </c>
      <c r="AC6" s="11">
        <f>IF(AC4="","",IF(COUNTIF($AK$5:$AK$39,AC5),VLOOKUP(AC5,$AK$5:$AL$39,2,0),""))</f>
        <v/>
      </c>
      <c r="AD6" s="11">
        <f>IF(AD4="","",IF(COUNTIF($AK$5:$AK$39,AD5),VLOOKUP(AD5,$AK$5:$AL$39,2,0),""))</f>
        <v/>
      </c>
      <c r="AE6" s="11">
        <f>IF(AE4="","",IF(COUNTIF($AK$5:$AK$39,AE5),VLOOKUP(AE5,$AK$5:$AL$39,2,0),""))</f>
        <v/>
      </c>
      <c r="AF6" s="11">
        <f>IF(AF4="","",IF(COUNTIF($AK$5:$AK$39,AF5),VLOOKUP(AF5,$AK$5:$AL$39,2,0),""))</f>
        <v/>
      </c>
      <c r="AK6" s="8" t="n">
        <v>46034</v>
      </c>
      <c r="AL6" s="5" t="inlineStr">
        <is>
          <t>成人の日</t>
        </is>
      </c>
    </row>
    <row r="7">
      <c r="A7" s="1" t="inlineStr">
        <is>
          <t>日</t>
        </is>
      </c>
      <c r="B7" s="9" t="n">
        <v>1</v>
      </c>
      <c r="C7" s="9" t="n">
        <v>2</v>
      </c>
      <c r="D7" s="9" t="n">
        <v>3</v>
      </c>
      <c r="E7" s="9" t="n">
        <v>4</v>
      </c>
      <c r="F7" s="9" t="n">
        <v>5</v>
      </c>
      <c r="G7" s="9" t="n">
        <v>6</v>
      </c>
      <c r="H7" s="9" t="n">
        <v>7</v>
      </c>
      <c r="I7" s="9" t="n">
        <v>8</v>
      </c>
      <c r="J7" s="9" t="n">
        <v>9</v>
      </c>
      <c r="K7" s="9" t="n">
        <v>10</v>
      </c>
      <c r="L7" s="9" t="n">
        <v>11</v>
      </c>
      <c r="M7" s="9" t="n">
        <v>12</v>
      </c>
      <c r="N7" s="9" t="n">
        <v>13</v>
      </c>
      <c r="O7" s="9" t="n">
        <v>14</v>
      </c>
      <c r="P7" s="9" t="n">
        <v>15</v>
      </c>
      <c r="Q7" s="9" t="n">
        <v>16</v>
      </c>
      <c r="R7" s="9" t="n">
        <v>17</v>
      </c>
      <c r="S7" s="9" t="n">
        <v>18</v>
      </c>
      <c r="T7" s="9" t="n">
        <v>19</v>
      </c>
      <c r="U7" s="9" t="n">
        <v>20</v>
      </c>
      <c r="V7" s="9" t="n">
        <v>21</v>
      </c>
      <c r="W7" s="9" t="n">
        <v>22</v>
      </c>
      <c r="X7" s="9" t="n">
        <v>23</v>
      </c>
      <c r="Y7" s="9" t="n">
        <v>24</v>
      </c>
      <c r="Z7" s="9" t="n">
        <v>25</v>
      </c>
      <c r="AA7" s="9" t="n">
        <v>26</v>
      </c>
      <c r="AB7" s="9" t="n">
        <v>27</v>
      </c>
      <c r="AC7" s="9" t="n">
        <v>28</v>
      </c>
      <c r="AD7" s="9">
        <f>IF(DAY(DATE($AI7,$AH7,29))=29,29,"")</f>
        <v/>
      </c>
      <c r="AE7" s="9">
        <f>IF(DAY(DATE($AI7,$AH7,30))=30,30,"")</f>
        <v/>
      </c>
      <c r="AF7" s="9">
        <f>IF(DAY(DATE($AI7,$AH7,31))=31,31,"")</f>
        <v/>
      </c>
      <c r="AH7" s="12">
        <f>IF(AH4+1=12,AH4+1,MOD(AH4+1,12))</f>
        <v/>
      </c>
      <c r="AI7" s="12">
        <f>IF(AH4&lt;AH7,AI4,AI4+1)</f>
        <v/>
      </c>
      <c r="AK7" s="8" t="n">
        <v>46064</v>
      </c>
      <c r="AL7" s="5" t="inlineStr">
        <is>
          <t>建国記念の日</t>
        </is>
      </c>
    </row>
    <row r="8">
      <c r="A8" s="1" t="inlineStr">
        <is>
          <t>曜</t>
        </is>
      </c>
      <c r="B8" s="10">
        <f>IF(B7="","",DATE($AI7,$AH7,B7))</f>
        <v/>
      </c>
      <c r="C8" s="10">
        <f>IF(C7="","",DATE($AI7,$AH7,C7))</f>
        <v/>
      </c>
      <c r="D8" s="10">
        <f>IF(D7="","",DATE($AI7,$AH7,D7))</f>
        <v/>
      </c>
      <c r="E8" s="10">
        <f>IF(E7="","",DATE($AI7,$AH7,E7))</f>
        <v/>
      </c>
      <c r="F8" s="10">
        <f>IF(F7="","",DATE($AI7,$AH7,F7))</f>
        <v/>
      </c>
      <c r="G8" s="10">
        <f>IF(G7="","",DATE($AI7,$AH7,G7))</f>
        <v/>
      </c>
      <c r="H8" s="10">
        <f>IF(H7="","",DATE($AI7,$AH7,H7))</f>
        <v/>
      </c>
      <c r="I8" s="10">
        <f>IF(I7="","",DATE($AI7,$AH7,I7))</f>
        <v/>
      </c>
      <c r="J8" s="10">
        <f>IF(J7="","",DATE($AI7,$AH7,J7))</f>
        <v/>
      </c>
      <c r="K8" s="10">
        <f>IF(K7="","",DATE($AI7,$AH7,K7))</f>
        <v/>
      </c>
      <c r="L8" s="10">
        <f>IF(L7="","",DATE($AI7,$AH7,L7))</f>
        <v/>
      </c>
      <c r="M8" s="10">
        <f>IF(M7="","",DATE($AI7,$AH7,M7))</f>
        <v/>
      </c>
      <c r="N8" s="10">
        <f>IF(N7="","",DATE($AI7,$AH7,N7))</f>
        <v/>
      </c>
      <c r="O8" s="10">
        <f>IF(O7="","",DATE($AI7,$AH7,O7))</f>
        <v/>
      </c>
      <c r="P8" s="10">
        <f>IF(P7="","",DATE($AI7,$AH7,P7))</f>
        <v/>
      </c>
      <c r="Q8" s="10">
        <f>IF(Q7="","",DATE($AI7,$AH7,Q7))</f>
        <v/>
      </c>
      <c r="R8" s="10">
        <f>IF(R7="","",DATE($AI7,$AH7,R7))</f>
        <v/>
      </c>
      <c r="S8" s="10">
        <f>IF(S7="","",DATE($AI7,$AH7,S7))</f>
        <v/>
      </c>
      <c r="T8" s="10">
        <f>IF(T7="","",DATE($AI7,$AH7,T7))</f>
        <v/>
      </c>
      <c r="U8" s="10">
        <f>IF(U7="","",DATE($AI7,$AH7,U7))</f>
        <v/>
      </c>
      <c r="V8" s="10">
        <f>IF(V7="","",DATE($AI7,$AH7,V7))</f>
        <v/>
      </c>
      <c r="W8" s="10">
        <f>IF(W7="","",DATE($AI7,$AH7,W7))</f>
        <v/>
      </c>
      <c r="X8" s="10">
        <f>IF(X7="","",DATE($AI7,$AH7,X7))</f>
        <v/>
      </c>
      <c r="Y8" s="10">
        <f>IF(Y7="","",DATE($AI7,$AH7,Y7))</f>
        <v/>
      </c>
      <c r="Z8" s="10">
        <f>IF(Z7="","",DATE($AI7,$AH7,Z7))</f>
        <v/>
      </c>
      <c r="AA8" s="10">
        <f>IF(AA7="","",DATE($AI7,$AH7,AA7))</f>
        <v/>
      </c>
      <c r="AB8" s="10">
        <f>IF(AB7="","",DATE($AI7,$AH7,AB7))</f>
        <v/>
      </c>
      <c r="AC8" s="10">
        <f>IF(AC7="","",DATE($AI7,$AH7,AC7))</f>
        <v/>
      </c>
      <c r="AD8" s="10">
        <f>IF(AD7="","",DATE($AI7,$AH7,AD7))</f>
        <v/>
      </c>
      <c r="AE8" s="10">
        <f>IF(AE7="","",DATE($AI7,$AH7,AE7))</f>
        <v/>
      </c>
      <c r="AF8" s="10">
        <f>IF(AF7="","",DATE($AI7,$AH7,AF7))</f>
        <v/>
      </c>
      <c r="AK8" s="8" t="n">
        <v>46076</v>
      </c>
      <c r="AL8" s="5" t="inlineStr">
        <is>
          <t>天皇誕生日</t>
        </is>
      </c>
    </row>
    <row r="9">
      <c r="A9" s="1" t="inlineStr">
        <is>
          <t>祝</t>
        </is>
      </c>
      <c r="B9" s="11">
        <f>IF(B7="","",IF(COUNTIF($AK$5:$AK$39,B8),VLOOKUP(B8,$AK$5:$AL$39,2,0),""))</f>
        <v/>
      </c>
      <c r="C9" s="11">
        <f>IF(C7="","",IF(COUNTIF($AK$5:$AK$39,C8),VLOOKUP(C8,$AK$5:$AL$39,2,0),""))</f>
        <v/>
      </c>
      <c r="D9" s="11">
        <f>IF(D7="","",IF(COUNTIF($AK$5:$AK$39,D8),VLOOKUP(D8,$AK$5:$AL$39,2,0),""))</f>
        <v/>
      </c>
      <c r="E9" s="11">
        <f>IF(E7="","",IF(COUNTIF($AK$5:$AK$39,E8),VLOOKUP(E8,$AK$5:$AL$39,2,0),""))</f>
        <v/>
      </c>
      <c r="F9" s="11">
        <f>IF(F7="","",IF(COUNTIF($AK$5:$AK$39,F8),VLOOKUP(F8,$AK$5:$AL$39,2,0),""))</f>
        <v/>
      </c>
      <c r="G9" s="11">
        <f>IF(G7="","",IF(COUNTIF($AK$5:$AK$39,G8),VLOOKUP(G8,$AK$5:$AL$39,2,0),""))</f>
        <v/>
      </c>
      <c r="H9" s="11">
        <f>IF(H7="","",IF(COUNTIF($AK$5:$AK$39,H8),VLOOKUP(H8,$AK$5:$AL$39,2,0),""))</f>
        <v/>
      </c>
      <c r="I9" s="11">
        <f>IF(I7="","",IF(COUNTIF($AK$5:$AK$39,I8),VLOOKUP(I8,$AK$5:$AL$39,2,0),""))</f>
        <v/>
      </c>
      <c r="J9" s="11">
        <f>IF(J7="","",IF(COUNTIF($AK$5:$AK$39,J8),VLOOKUP(J8,$AK$5:$AL$39,2,0),""))</f>
        <v/>
      </c>
      <c r="K9" s="11">
        <f>IF(K7="","",IF(COUNTIF($AK$5:$AK$39,K8),VLOOKUP(K8,$AK$5:$AL$39,2,0),""))</f>
        <v/>
      </c>
      <c r="L9" s="11">
        <f>IF(L7="","",IF(COUNTIF($AK$5:$AK$39,L8),VLOOKUP(L8,$AK$5:$AL$39,2,0),""))</f>
        <v/>
      </c>
      <c r="M9" s="11">
        <f>IF(M7="","",IF(COUNTIF($AK$5:$AK$39,M8),VLOOKUP(M8,$AK$5:$AL$39,2,0),""))</f>
        <v/>
      </c>
      <c r="N9" s="11">
        <f>IF(N7="","",IF(COUNTIF($AK$5:$AK$39,N8),VLOOKUP(N8,$AK$5:$AL$39,2,0),""))</f>
        <v/>
      </c>
      <c r="O9" s="11">
        <f>IF(O7="","",IF(COUNTIF($AK$5:$AK$39,O8),VLOOKUP(O8,$AK$5:$AL$39,2,0),""))</f>
        <v/>
      </c>
      <c r="P9" s="11">
        <f>IF(P7="","",IF(COUNTIF($AK$5:$AK$39,P8),VLOOKUP(P8,$AK$5:$AL$39,2,0),""))</f>
        <v/>
      </c>
      <c r="Q9" s="11">
        <f>IF(Q7="","",IF(COUNTIF($AK$5:$AK$39,Q8),VLOOKUP(Q8,$AK$5:$AL$39,2,0),""))</f>
        <v/>
      </c>
      <c r="R9" s="11">
        <f>IF(R7="","",IF(COUNTIF($AK$5:$AK$39,R8),VLOOKUP(R8,$AK$5:$AL$39,2,0),""))</f>
        <v/>
      </c>
      <c r="S9" s="11">
        <f>IF(S7="","",IF(COUNTIF($AK$5:$AK$39,S8),VLOOKUP(S8,$AK$5:$AL$39,2,0),""))</f>
        <v/>
      </c>
      <c r="T9" s="11">
        <f>IF(T7="","",IF(COUNTIF($AK$5:$AK$39,T8),VLOOKUP(T8,$AK$5:$AL$39,2,0),""))</f>
        <v/>
      </c>
      <c r="U9" s="11">
        <f>IF(U7="","",IF(COUNTIF($AK$5:$AK$39,U8),VLOOKUP(U8,$AK$5:$AL$39,2,0),""))</f>
        <v/>
      </c>
      <c r="V9" s="11">
        <f>IF(V7="","",IF(COUNTIF($AK$5:$AK$39,V8),VLOOKUP(V8,$AK$5:$AL$39,2,0),""))</f>
        <v/>
      </c>
      <c r="W9" s="11">
        <f>IF(W7="","",IF(COUNTIF($AK$5:$AK$39,W8),VLOOKUP(W8,$AK$5:$AL$39,2,0),""))</f>
        <v/>
      </c>
      <c r="X9" s="11">
        <f>IF(X7="","",IF(COUNTIF($AK$5:$AK$39,X8),VLOOKUP(X8,$AK$5:$AL$39,2,0),""))</f>
        <v/>
      </c>
      <c r="Y9" s="11">
        <f>IF(Y7="","",IF(COUNTIF($AK$5:$AK$39,Y8),VLOOKUP(Y8,$AK$5:$AL$39,2,0),""))</f>
        <v/>
      </c>
      <c r="Z9" s="11">
        <f>IF(Z7="","",IF(COUNTIF($AK$5:$AK$39,Z8),VLOOKUP(Z8,$AK$5:$AL$39,2,0),""))</f>
        <v/>
      </c>
      <c r="AA9" s="11">
        <f>IF(AA7="","",IF(COUNTIF($AK$5:$AK$39,AA8),VLOOKUP(AA8,$AK$5:$AL$39,2,0),""))</f>
        <v/>
      </c>
      <c r="AB9" s="11">
        <f>IF(AB7="","",IF(COUNTIF($AK$5:$AK$39,AB8),VLOOKUP(AB8,$AK$5:$AL$39,2,0),""))</f>
        <v/>
      </c>
      <c r="AC9" s="11">
        <f>IF(AC7="","",IF(COUNTIF($AK$5:$AK$39,AC8),VLOOKUP(AC8,$AK$5:$AL$39,2,0),""))</f>
        <v/>
      </c>
      <c r="AD9" s="11">
        <f>IF(AD7="","",IF(COUNTIF($AK$5:$AK$39,AD8),VLOOKUP(AD8,$AK$5:$AL$39,2,0),""))</f>
        <v/>
      </c>
      <c r="AE9" s="11">
        <f>IF(AE7="","",IF(COUNTIF($AK$5:$AK$39,AE8),VLOOKUP(AE8,$AK$5:$AL$39,2,0),""))</f>
        <v/>
      </c>
      <c r="AF9" s="11">
        <f>IF(AF7="","",IF(COUNTIF($AK$5:$AK$39,AF8),VLOOKUP(AF8,$AK$5:$AL$39,2,0),""))</f>
        <v/>
      </c>
      <c r="AK9" s="8" t="n">
        <v>46101</v>
      </c>
      <c r="AL9" s="5" t="inlineStr">
        <is>
          <t>春分の日</t>
        </is>
      </c>
    </row>
    <row r="10">
      <c r="A10" s="1" t="inlineStr">
        <is>
          <t>日</t>
        </is>
      </c>
      <c r="B10" s="9" t="n">
        <v>1</v>
      </c>
      <c r="C10" s="9" t="n">
        <v>2</v>
      </c>
      <c r="D10" s="9" t="n">
        <v>3</v>
      </c>
      <c r="E10" s="9" t="n">
        <v>4</v>
      </c>
      <c r="F10" s="9" t="n">
        <v>5</v>
      </c>
      <c r="G10" s="9" t="n">
        <v>6</v>
      </c>
      <c r="H10" s="9" t="n">
        <v>7</v>
      </c>
      <c r="I10" s="9" t="n">
        <v>8</v>
      </c>
      <c r="J10" s="9" t="n">
        <v>9</v>
      </c>
      <c r="K10" s="9" t="n">
        <v>10</v>
      </c>
      <c r="L10" s="9" t="n">
        <v>11</v>
      </c>
      <c r="M10" s="9" t="n">
        <v>12</v>
      </c>
      <c r="N10" s="9" t="n">
        <v>13</v>
      </c>
      <c r="O10" s="9" t="n">
        <v>14</v>
      </c>
      <c r="P10" s="9" t="n">
        <v>15</v>
      </c>
      <c r="Q10" s="9" t="n">
        <v>16</v>
      </c>
      <c r="R10" s="9" t="n">
        <v>17</v>
      </c>
      <c r="S10" s="9" t="n">
        <v>18</v>
      </c>
      <c r="T10" s="9" t="n">
        <v>19</v>
      </c>
      <c r="U10" s="9" t="n">
        <v>20</v>
      </c>
      <c r="V10" s="9" t="n">
        <v>21</v>
      </c>
      <c r="W10" s="9" t="n">
        <v>22</v>
      </c>
      <c r="X10" s="9" t="n">
        <v>23</v>
      </c>
      <c r="Y10" s="9" t="n">
        <v>24</v>
      </c>
      <c r="Z10" s="9" t="n">
        <v>25</v>
      </c>
      <c r="AA10" s="9" t="n">
        <v>26</v>
      </c>
      <c r="AB10" s="9" t="n">
        <v>27</v>
      </c>
      <c r="AC10" s="9" t="n">
        <v>28</v>
      </c>
      <c r="AD10" s="9">
        <f>IF(DAY(DATE($AI10,$AH10,29))=29,29,"")</f>
        <v/>
      </c>
      <c r="AE10" s="9">
        <f>IF(DAY(DATE($AI10,$AH10,30))=30,30,"")</f>
        <v/>
      </c>
      <c r="AF10" s="9">
        <f>IF(DAY(DATE($AI10,$AH10,31))=31,31,"")</f>
        <v/>
      </c>
      <c r="AH10" s="12">
        <f>IF(AH7+1=12,AH7+1,MOD(AH7+1,12))</f>
        <v/>
      </c>
      <c r="AI10" s="12">
        <f>IF(AH7&lt;AH10,AI7,AI7+1)</f>
        <v/>
      </c>
      <c r="AK10" s="8" t="n">
        <v>46141</v>
      </c>
      <c r="AL10" s="5" t="inlineStr">
        <is>
          <t>昭和の日</t>
        </is>
      </c>
    </row>
    <row r="11">
      <c r="A11" s="1" t="inlineStr">
        <is>
          <t>曜</t>
        </is>
      </c>
      <c r="B11" s="10">
        <f>IF(B10="","",DATE($AI10,$AH10,B10))</f>
        <v/>
      </c>
      <c r="C11" s="10">
        <f>IF(C10="","",DATE($AI10,$AH10,C10))</f>
        <v/>
      </c>
      <c r="D11" s="10">
        <f>IF(D10="","",DATE($AI10,$AH10,D10))</f>
        <v/>
      </c>
      <c r="E11" s="10">
        <f>IF(E10="","",DATE($AI10,$AH10,E10))</f>
        <v/>
      </c>
      <c r="F11" s="10">
        <f>IF(F10="","",DATE($AI10,$AH10,F10))</f>
        <v/>
      </c>
      <c r="G11" s="10">
        <f>IF(G10="","",DATE($AI10,$AH10,G10))</f>
        <v/>
      </c>
      <c r="H11" s="10">
        <f>IF(H10="","",DATE($AI10,$AH10,H10))</f>
        <v/>
      </c>
      <c r="I11" s="10">
        <f>IF(I10="","",DATE($AI10,$AH10,I10))</f>
        <v/>
      </c>
      <c r="J11" s="10">
        <f>IF(J10="","",DATE($AI10,$AH10,J10))</f>
        <v/>
      </c>
      <c r="K11" s="10">
        <f>IF(K10="","",DATE($AI10,$AH10,K10))</f>
        <v/>
      </c>
      <c r="L11" s="10">
        <f>IF(L10="","",DATE($AI10,$AH10,L10))</f>
        <v/>
      </c>
      <c r="M11" s="10">
        <f>IF(M10="","",DATE($AI10,$AH10,M10))</f>
        <v/>
      </c>
      <c r="N11" s="10">
        <f>IF(N10="","",DATE($AI10,$AH10,N10))</f>
        <v/>
      </c>
      <c r="O11" s="10">
        <f>IF(O10="","",DATE($AI10,$AH10,O10))</f>
        <v/>
      </c>
      <c r="P11" s="10">
        <f>IF(P10="","",DATE($AI10,$AH10,P10))</f>
        <v/>
      </c>
      <c r="Q11" s="10">
        <f>IF(Q10="","",DATE($AI10,$AH10,Q10))</f>
        <v/>
      </c>
      <c r="R11" s="10">
        <f>IF(R10="","",DATE($AI10,$AH10,R10))</f>
        <v/>
      </c>
      <c r="S11" s="10">
        <f>IF(S10="","",DATE($AI10,$AH10,S10))</f>
        <v/>
      </c>
      <c r="T11" s="10">
        <f>IF(T10="","",DATE($AI10,$AH10,T10))</f>
        <v/>
      </c>
      <c r="U11" s="10">
        <f>IF(U10="","",DATE($AI10,$AH10,U10))</f>
        <v/>
      </c>
      <c r="V11" s="10">
        <f>IF(V10="","",DATE($AI10,$AH10,V10))</f>
        <v/>
      </c>
      <c r="W11" s="10">
        <f>IF(W10="","",DATE($AI10,$AH10,W10))</f>
        <v/>
      </c>
      <c r="X11" s="10">
        <f>IF(X10="","",DATE($AI10,$AH10,X10))</f>
        <v/>
      </c>
      <c r="Y11" s="10">
        <f>IF(Y10="","",DATE($AI10,$AH10,Y10))</f>
        <v/>
      </c>
      <c r="Z11" s="10">
        <f>IF(Z10="","",DATE($AI10,$AH10,Z10))</f>
        <v/>
      </c>
      <c r="AA11" s="10">
        <f>IF(AA10="","",DATE($AI10,$AH10,AA10))</f>
        <v/>
      </c>
      <c r="AB11" s="10">
        <f>IF(AB10="","",DATE($AI10,$AH10,AB10))</f>
        <v/>
      </c>
      <c r="AC11" s="10">
        <f>IF(AC10="","",DATE($AI10,$AH10,AC10))</f>
        <v/>
      </c>
      <c r="AD11" s="10">
        <f>IF(AD10="","",DATE($AI10,$AH10,AD10))</f>
        <v/>
      </c>
      <c r="AE11" s="10">
        <f>IF(AE10="","",DATE($AI10,$AH10,AE10))</f>
        <v/>
      </c>
      <c r="AF11" s="10">
        <f>IF(AF10="","",DATE($AI10,$AH10,AF10))</f>
        <v/>
      </c>
      <c r="AK11" s="8" t="n">
        <v>46145</v>
      </c>
      <c r="AL11" s="5" t="inlineStr">
        <is>
          <t>憲法記念日</t>
        </is>
      </c>
    </row>
    <row r="12">
      <c r="A12" s="1" t="inlineStr">
        <is>
          <t>祝</t>
        </is>
      </c>
      <c r="B12" s="11">
        <f>IF(B10="","",IF(COUNTIF($AK$5:$AK$39,B11),VLOOKUP(B11,$AK$5:$AL$39,2,0),""))</f>
        <v/>
      </c>
      <c r="C12" s="11">
        <f>IF(C10="","",IF(COUNTIF($AK$5:$AK$39,C11),VLOOKUP(C11,$AK$5:$AL$39,2,0),""))</f>
        <v/>
      </c>
      <c r="D12" s="11">
        <f>IF(D10="","",IF(COUNTIF($AK$5:$AK$39,D11),VLOOKUP(D11,$AK$5:$AL$39,2,0),""))</f>
        <v/>
      </c>
      <c r="E12" s="11">
        <f>IF(E10="","",IF(COUNTIF($AK$5:$AK$39,E11),VLOOKUP(E11,$AK$5:$AL$39,2,0),""))</f>
        <v/>
      </c>
      <c r="F12" s="11">
        <f>IF(F10="","",IF(COUNTIF($AK$5:$AK$39,F11),VLOOKUP(F11,$AK$5:$AL$39,2,0),""))</f>
        <v/>
      </c>
      <c r="G12" s="11">
        <f>IF(G10="","",IF(COUNTIF($AK$5:$AK$39,G11),VLOOKUP(G11,$AK$5:$AL$39,2,0),""))</f>
        <v/>
      </c>
      <c r="H12" s="11">
        <f>IF(H10="","",IF(COUNTIF($AK$5:$AK$39,H11),VLOOKUP(H11,$AK$5:$AL$39,2,0),""))</f>
        <v/>
      </c>
      <c r="I12" s="11">
        <f>IF(I10="","",IF(COUNTIF($AK$5:$AK$39,I11),VLOOKUP(I11,$AK$5:$AL$39,2,0),""))</f>
        <v/>
      </c>
      <c r="J12" s="11">
        <f>IF(J10="","",IF(COUNTIF($AK$5:$AK$39,J11),VLOOKUP(J11,$AK$5:$AL$39,2,0),""))</f>
        <v/>
      </c>
      <c r="K12" s="11">
        <f>IF(K10="","",IF(COUNTIF($AK$5:$AK$39,K11),VLOOKUP(K11,$AK$5:$AL$39,2,0),""))</f>
        <v/>
      </c>
      <c r="L12" s="11">
        <f>IF(L10="","",IF(COUNTIF($AK$5:$AK$39,L11),VLOOKUP(L11,$AK$5:$AL$39,2,0),""))</f>
        <v/>
      </c>
      <c r="M12" s="11">
        <f>IF(M10="","",IF(COUNTIF($AK$5:$AK$39,M11),VLOOKUP(M11,$AK$5:$AL$39,2,0),""))</f>
        <v/>
      </c>
      <c r="N12" s="11">
        <f>IF(N10="","",IF(COUNTIF($AK$5:$AK$39,N11),VLOOKUP(N11,$AK$5:$AL$39,2,0),""))</f>
        <v/>
      </c>
      <c r="O12" s="11">
        <f>IF(O10="","",IF(COUNTIF($AK$5:$AK$39,O11),VLOOKUP(O11,$AK$5:$AL$39,2,0),""))</f>
        <v/>
      </c>
      <c r="P12" s="11">
        <f>IF(P10="","",IF(COUNTIF($AK$5:$AK$39,P11),VLOOKUP(P11,$AK$5:$AL$39,2,0),""))</f>
        <v/>
      </c>
      <c r="Q12" s="11">
        <f>IF(Q10="","",IF(COUNTIF($AK$5:$AK$39,Q11),VLOOKUP(Q11,$AK$5:$AL$39,2,0),""))</f>
        <v/>
      </c>
      <c r="R12" s="11">
        <f>IF(R10="","",IF(COUNTIF($AK$5:$AK$39,R11),VLOOKUP(R11,$AK$5:$AL$39,2,0),""))</f>
        <v/>
      </c>
      <c r="S12" s="11">
        <f>IF(S10="","",IF(COUNTIF($AK$5:$AK$39,S11),VLOOKUP(S11,$AK$5:$AL$39,2,0),""))</f>
        <v/>
      </c>
      <c r="T12" s="11">
        <f>IF(T10="","",IF(COUNTIF($AK$5:$AK$39,T11),VLOOKUP(T11,$AK$5:$AL$39,2,0),""))</f>
        <v/>
      </c>
      <c r="U12" s="11">
        <f>IF(U10="","",IF(COUNTIF($AK$5:$AK$39,U11),VLOOKUP(U11,$AK$5:$AL$39,2,0),""))</f>
        <v/>
      </c>
      <c r="V12" s="11">
        <f>IF(V10="","",IF(COUNTIF($AK$5:$AK$39,V11),VLOOKUP(V11,$AK$5:$AL$39,2,0),""))</f>
        <v/>
      </c>
      <c r="W12" s="11">
        <f>IF(W10="","",IF(COUNTIF($AK$5:$AK$39,W11),VLOOKUP(W11,$AK$5:$AL$39,2,0),""))</f>
        <v/>
      </c>
      <c r="X12" s="11">
        <f>IF(X10="","",IF(COUNTIF($AK$5:$AK$39,X11),VLOOKUP(X11,$AK$5:$AL$39,2,0),""))</f>
        <v/>
      </c>
      <c r="Y12" s="11">
        <f>IF(Y10="","",IF(COUNTIF($AK$5:$AK$39,Y11),VLOOKUP(Y11,$AK$5:$AL$39,2,0),""))</f>
        <v/>
      </c>
      <c r="Z12" s="11">
        <f>IF(Z10="","",IF(COUNTIF($AK$5:$AK$39,Z11),VLOOKUP(Z11,$AK$5:$AL$39,2,0),""))</f>
        <v/>
      </c>
      <c r="AA12" s="11">
        <f>IF(AA10="","",IF(COUNTIF($AK$5:$AK$39,AA11),VLOOKUP(AA11,$AK$5:$AL$39,2,0),""))</f>
        <v/>
      </c>
      <c r="AB12" s="11">
        <f>IF(AB10="","",IF(COUNTIF($AK$5:$AK$39,AB11),VLOOKUP(AB11,$AK$5:$AL$39,2,0),""))</f>
        <v/>
      </c>
      <c r="AC12" s="11">
        <f>IF(AC10="","",IF(COUNTIF($AK$5:$AK$39,AC11),VLOOKUP(AC11,$AK$5:$AL$39,2,0),""))</f>
        <v/>
      </c>
      <c r="AD12" s="11">
        <f>IF(AD10="","",IF(COUNTIF($AK$5:$AK$39,AD11),VLOOKUP(AD11,$AK$5:$AL$39,2,0),""))</f>
        <v/>
      </c>
      <c r="AE12" s="11">
        <f>IF(AE10="","",IF(COUNTIF($AK$5:$AK$39,AE11),VLOOKUP(AE11,$AK$5:$AL$39,2,0),""))</f>
        <v/>
      </c>
      <c r="AF12" s="11">
        <f>IF(AF10="","",IF(COUNTIF($AK$5:$AK$39,AF11),VLOOKUP(AF11,$AK$5:$AL$39,2,0),""))</f>
        <v/>
      </c>
      <c r="AK12" s="8" t="n">
        <v>46146</v>
      </c>
      <c r="AL12" s="5" t="inlineStr">
        <is>
          <t>みどりの日</t>
        </is>
      </c>
    </row>
    <row r="13">
      <c r="A13" s="1" t="inlineStr">
        <is>
          <t>日</t>
        </is>
      </c>
      <c r="B13" s="9" t="n">
        <v>1</v>
      </c>
      <c r="C13" s="9" t="n">
        <v>2</v>
      </c>
      <c r="D13" s="9" t="n">
        <v>3</v>
      </c>
      <c r="E13" s="9" t="n">
        <v>4</v>
      </c>
      <c r="F13" s="9" t="n">
        <v>5</v>
      </c>
      <c r="G13" s="9" t="n">
        <v>6</v>
      </c>
      <c r="H13" s="9" t="n">
        <v>7</v>
      </c>
      <c r="I13" s="9" t="n">
        <v>8</v>
      </c>
      <c r="J13" s="9" t="n">
        <v>9</v>
      </c>
      <c r="K13" s="9" t="n">
        <v>10</v>
      </c>
      <c r="L13" s="9" t="n">
        <v>11</v>
      </c>
      <c r="M13" s="9" t="n">
        <v>12</v>
      </c>
      <c r="N13" s="9" t="n">
        <v>13</v>
      </c>
      <c r="O13" s="9" t="n">
        <v>14</v>
      </c>
      <c r="P13" s="9" t="n">
        <v>15</v>
      </c>
      <c r="Q13" s="9" t="n">
        <v>16</v>
      </c>
      <c r="R13" s="9" t="n">
        <v>17</v>
      </c>
      <c r="S13" s="9" t="n">
        <v>18</v>
      </c>
      <c r="T13" s="9" t="n">
        <v>19</v>
      </c>
      <c r="U13" s="9" t="n">
        <v>20</v>
      </c>
      <c r="V13" s="9" t="n">
        <v>21</v>
      </c>
      <c r="W13" s="9" t="n">
        <v>22</v>
      </c>
      <c r="X13" s="9" t="n">
        <v>23</v>
      </c>
      <c r="Y13" s="9" t="n">
        <v>24</v>
      </c>
      <c r="Z13" s="9" t="n">
        <v>25</v>
      </c>
      <c r="AA13" s="9" t="n">
        <v>26</v>
      </c>
      <c r="AB13" s="9" t="n">
        <v>27</v>
      </c>
      <c r="AC13" s="9" t="n">
        <v>28</v>
      </c>
      <c r="AD13" s="9">
        <f>IF(DAY(DATE($AI13,$AH13,29))=29,29,"")</f>
        <v/>
      </c>
      <c r="AE13" s="9">
        <f>IF(DAY(DATE($AI13,$AH13,30))=30,30,"")</f>
        <v/>
      </c>
      <c r="AF13" s="9">
        <f>IF(DAY(DATE($AI13,$AH13,31))=31,31,"")</f>
        <v/>
      </c>
      <c r="AH13" s="12">
        <f>IF(AH10+1=12,AH10+1,MOD(AH10+1,12))</f>
        <v/>
      </c>
      <c r="AI13" s="12">
        <f>IF(AH10&lt;AH13,AI10,AI10+1)</f>
        <v/>
      </c>
      <c r="AK13" s="8" t="n">
        <v>46147</v>
      </c>
      <c r="AL13" s="5" t="inlineStr">
        <is>
          <t>こどもの日</t>
        </is>
      </c>
    </row>
    <row r="14">
      <c r="A14" s="1" t="inlineStr">
        <is>
          <t>曜</t>
        </is>
      </c>
      <c r="B14" s="10">
        <f>IF(B13="","",DATE($AI13,$AH13,B13))</f>
        <v/>
      </c>
      <c r="C14" s="10">
        <f>IF(C13="","",DATE($AI13,$AH13,C13))</f>
        <v/>
      </c>
      <c r="D14" s="10">
        <f>IF(D13="","",DATE($AI13,$AH13,D13))</f>
        <v/>
      </c>
      <c r="E14" s="10">
        <f>IF(E13="","",DATE($AI13,$AH13,E13))</f>
        <v/>
      </c>
      <c r="F14" s="10">
        <f>IF(F13="","",DATE($AI13,$AH13,F13))</f>
        <v/>
      </c>
      <c r="G14" s="10">
        <f>IF(G13="","",DATE($AI13,$AH13,G13))</f>
        <v/>
      </c>
      <c r="H14" s="10">
        <f>IF(H13="","",DATE($AI13,$AH13,H13))</f>
        <v/>
      </c>
      <c r="I14" s="10">
        <f>IF(I13="","",DATE($AI13,$AH13,I13))</f>
        <v/>
      </c>
      <c r="J14" s="10">
        <f>IF(J13="","",DATE($AI13,$AH13,J13))</f>
        <v/>
      </c>
      <c r="K14" s="10">
        <f>IF(K13="","",DATE($AI13,$AH13,K13))</f>
        <v/>
      </c>
      <c r="L14" s="10">
        <f>IF(L13="","",DATE($AI13,$AH13,L13))</f>
        <v/>
      </c>
      <c r="M14" s="10">
        <f>IF(M13="","",DATE($AI13,$AH13,M13))</f>
        <v/>
      </c>
      <c r="N14" s="10">
        <f>IF(N13="","",DATE($AI13,$AH13,N13))</f>
        <v/>
      </c>
      <c r="O14" s="10">
        <f>IF(O13="","",DATE($AI13,$AH13,O13))</f>
        <v/>
      </c>
      <c r="P14" s="10">
        <f>IF(P13="","",DATE($AI13,$AH13,P13))</f>
        <v/>
      </c>
      <c r="Q14" s="10">
        <f>IF(Q13="","",DATE($AI13,$AH13,Q13))</f>
        <v/>
      </c>
      <c r="R14" s="10">
        <f>IF(R13="","",DATE($AI13,$AH13,R13))</f>
        <v/>
      </c>
      <c r="S14" s="10">
        <f>IF(S13="","",DATE($AI13,$AH13,S13))</f>
        <v/>
      </c>
      <c r="T14" s="10">
        <f>IF(T13="","",DATE($AI13,$AH13,T13))</f>
        <v/>
      </c>
      <c r="U14" s="10">
        <f>IF(U13="","",DATE($AI13,$AH13,U13))</f>
        <v/>
      </c>
      <c r="V14" s="10">
        <f>IF(V13="","",DATE($AI13,$AH13,V13))</f>
        <v/>
      </c>
      <c r="W14" s="10">
        <f>IF(W13="","",DATE($AI13,$AH13,W13))</f>
        <v/>
      </c>
      <c r="X14" s="10">
        <f>IF(X13="","",DATE($AI13,$AH13,X13))</f>
        <v/>
      </c>
      <c r="Y14" s="10">
        <f>IF(Y13="","",DATE($AI13,$AH13,Y13))</f>
        <v/>
      </c>
      <c r="Z14" s="10">
        <f>IF(Z13="","",DATE($AI13,$AH13,Z13))</f>
        <v/>
      </c>
      <c r="AA14" s="10">
        <f>IF(AA13="","",DATE($AI13,$AH13,AA13))</f>
        <v/>
      </c>
      <c r="AB14" s="10">
        <f>IF(AB13="","",DATE($AI13,$AH13,AB13))</f>
        <v/>
      </c>
      <c r="AC14" s="10">
        <f>IF(AC13="","",DATE($AI13,$AH13,AC13))</f>
        <v/>
      </c>
      <c r="AD14" s="10">
        <f>IF(AD13="","",DATE($AI13,$AH13,AD13))</f>
        <v/>
      </c>
      <c r="AE14" s="10">
        <f>IF(AE13="","",DATE($AI13,$AH13,AE13))</f>
        <v/>
      </c>
      <c r="AF14" s="10">
        <f>IF(AF13="","",DATE($AI13,$AH13,AF13))</f>
        <v/>
      </c>
      <c r="AK14" s="8" t="n">
        <v>46148</v>
      </c>
      <c r="AL14" s="5" t="inlineStr">
        <is>
          <t>振替休日</t>
        </is>
      </c>
    </row>
    <row r="15">
      <c r="A15" s="1" t="inlineStr">
        <is>
          <t>祝</t>
        </is>
      </c>
      <c r="B15" s="11">
        <f>IF(B13="","",IF(COUNTIF($AK$5:$AK$39,B14),VLOOKUP(B14,$AK$5:$AL$39,2,0),""))</f>
        <v/>
      </c>
      <c r="C15" s="11">
        <f>IF(C13="","",IF(COUNTIF($AK$5:$AK$39,C14),VLOOKUP(C14,$AK$5:$AL$39,2,0),""))</f>
        <v/>
      </c>
      <c r="D15" s="11">
        <f>IF(D13="","",IF(COUNTIF($AK$5:$AK$39,D14),VLOOKUP(D14,$AK$5:$AL$39,2,0),""))</f>
        <v/>
      </c>
      <c r="E15" s="11">
        <f>IF(E13="","",IF(COUNTIF($AK$5:$AK$39,E14),VLOOKUP(E14,$AK$5:$AL$39,2,0),""))</f>
        <v/>
      </c>
      <c r="F15" s="11">
        <f>IF(F13="","",IF(COUNTIF($AK$5:$AK$39,F14),VLOOKUP(F14,$AK$5:$AL$39,2,0),""))</f>
        <v/>
      </c>
      <c r="G15" s="11">
        <f>IF(G13="","",IF(COUNTIF($AK$5:$AK$39,G14),VLOOKUP(G14,$AK$5:$AL$39,2,0),""))</f>
        <v/>
      </c>
      <c r="H15" s="11">
        <f>IF(H13="","",IF(COUNTIF($AK$5:$AK$39,H14),VLOOKUP(H14,$AK$5:$AL$39,2,0),""))</f>
        <v/>
      </c>
      <c r="I15" s="11">
        <f>IF(I13="","",IF(COUNTIF($AK$5:$AK$39,I14),VLOOKUP(I14,$AK$5:$AL$39,2,0),""))</f>
        <v/>
      </c>
      <c r="J15" s="11">
        <f>IF(J13="","",IF(COUNTIF($AK$5:$AK$39,J14),VLOOKUP(J14,$AK$5:$AL$39,2,0),""))</f>
        <v/>
      </c>
      <c r="K15" s="11">
        <f>IF(K13="","",IF(COUNTIF($AK$5:$AK$39,K14),VLOOKUP(K14,$AK$5:$AL$39,2,0),""))</f>
        <v/>
      </c>
      <c r="L15" s="11">
        <f>IF(L13="","",IF(COUNTIF($AK$5:$AK$39,L14),VLOOKUP(L14,$AK$5:$AL$39,2,0),""))</f>
        <v/>
      </c>
      <c r="M15" s="11">
        <f>IF(M13="","",IF(COUNTIF($AK$5:$AK$39,M14),VLOOKUP(M14,$AK$5:$AL$39,2,0),""))</f>
        <v/>
      </c>
      <c r="N15" s="11">
        <f>IF(N13="","",IF(COUNTIF($AK$5:$AK$39,N14),VLOOKUP(N14,$AK$5:$AL$39,2,0),""))</f>
        <v/>
      </c>
      <c r="O15" s="11">
        <f>IF(O13="","",IF(COUNTIF($AK$5:$AK$39,O14),VLOOKUP(O14,$AK$5:$AL$39,2,0),""))</f>
        <v/>
      </c>
      <c r="P15" s="11">
        <f>IF(P13="","",IF(COUNTIF($AK$5:$AK$39,P14),VLOOKUP(P14,$AK$5:$AL$39,2,0),""))</f>
        <v/>
      </c>
      <c r="Q15" s="11">
        <f>IF(Q13="","",IF(COUNTIF($AK$5:$AK$39,Q14),VLOOKUP(Q14,$AK$5:$AL$39,2,0),""))</f>
        <v/>
      </c>
      <c r="R15" s="11">
        <f>IF(R13="","",IF(COUNTIF($AK$5:$AK$39,R14),VLOOKUP(R14,$AK$5:$AL$39,2,0),""))</f>
        <v/>
      </c>
      <c r="S15" s="11">
        <f>IF(S13="","",IF(COUNTIF($AK$5:$AK$39,S14),VLOOKUP(S14,$AK$5:$AL$39,2,0),""))</f>
        <v/>
      </c>
      <c r="T15" s="11">
        <f>IF(T13="","",IF(COUNTIF($AK$5:$AK$39,T14),VLOOKUP(T14,$AK$5:$AL$39,2,0),""))</f>
        <v/>
      </c>
      <c r="U15" s="11">
        <f>IF(U13="","",IF(COUNTIF($AK$5:$AK$39,U14),VLOOKUP(U14,$AK$5:$AL$39,2,0),""))</f>
        <v/>
      </c>
      <c r="V15" s="11">
        <f>IF(V13="","",IF(COUNTIF($AK$5:$AK$39,V14),VLOOKUP(V14,$AK$5:$AL$39,2,0),""))</f>
        <v/>
      </c>
      <c r="W15" s="11">
        <f>IF(W13="","",IF(COUNTIF($AK$5:$AK$39,W14),VLOOKUP(W14,$AK$5:$AL$39,2,0),""))</f>
        <v/>
      </c>
      <c r="X15" s="11">
        <f>IF(X13="","",IF(COUNTIF($AK$5:$AK$39,X14),VLOOKUP(X14,$AK$5:$AL$39,2,0),""))</f>
        <v/>
      </c>
      <c r="Y15" s="11">
        <f>IF(Y13="","",IF(COUNTIF($AK$5:$AK$39,Y14),VLOOKUP(Y14,$AK$5:$AL$39,2,0),""))</f>
        <v/>
      </c>
      <c r="Z15" s="11">
        <f>IF(Z13="","",IF(COUNTIF($AK$5:$AK$39,Z14),VLOOKUP(Z14,$AK$5:$AL$39,2,0),""))</f>
        <v/>
      </c>
      <c r="AA15" s="11">
        <f>IF(AA13="","",IF(COUNTIF($AK$5:$AK$39,AA14),VLOOKUP(AA14,$AK$5:$AL$39,2,0),""))</f>
        <v/>
      </c>
      <c r="AB15" s="11">
        <f>IF(AB13="","",IF(COUNTIF($AK$5:$AK$39,AB14),VLOOKUP(AB14,$AK$5:$AL$39,2,0),""))</f>
        <v/>
      </c>
      <c r="AC15" s="11">
        <f>IF(AC13="","",IF(COUNTIF($AK$5:$AK$39,AC14),VLOOKUP(AC14,$AK$5:$AL$39,2,0),""))</f>
        <v/>
      </c>
      <c r="AD15" s="11">
        <f>IF(AD13="","",IF(COUNTIF($AK$5:$AK$39,AD14),VLOOKUP(AD14,$AK$5:$AL$39,2,0),""))</f>
        <v/>
      </c>
      <c r="AE15" s="11">
        <f>IF(AE13="","",IF(COUNTIF($AK$5:$AK$39,AE14),VLOOKUP(AE14,$AK$5:$AL$39,2,0),""))</f>
        <v/>
      </c>
      <c r="AF15" s="11">
        <f>IF(AF13="","",IF(COUNTIF($AK$5:$AK$39,AF14),VLOOKUP(AF14,$AK$5:$AL$39,2,0),""))</f>
        <v/>
      </c>
      <c r="AK15" s="8" t="n">
        <v>46223</v>
      </c>
      <c r="AL15" s="5" t="inlineStr">
        <is>
          <t>海の日</t>
        </is>
      </c>
    </row>
    <row r="16">
      <c r="A16" s="1" t="inlineStr">
        <is>
          <t>日</t>
        </is>
      </c>
      <c r="B16" s="9" t="n">
        <v>1</v>
      </c>
      <c r="C16" s="9" t="n">
        <v>2</v>
      </c>
      <c r="D16" s="9" t="n">
        <v>3</v>
      </c>
      <c r="E16" s="9" t="n">
        <v>4</v>
      </c>
      <c r="F16" s="9" t="n">
        <v>5</v>
      </c>
      <c r="G16" s="9" t="n">
        <v>6</v>
      </c>
      <c r="H16" s="9" t="n">
        <v>7</v>
      </c>
      <c r="I16" s="9" t="n">
        <v>8</v>
      </c>
      <c r="J16" s="9" t="n">
        <v>9</v>
      </c>
      <c r="K16" s="9" t="n">
        <v>10</v>
      </c>
      <c r="L16" s="9" t="n">
        <v>11</v>
      </c>
      <c r="M16" s="9" t="n">
        <v>12</v>
      </c>
      <c r="N16" s="9" t="n">
        <v>13</v>
      </c>
      <c r="O16" s="9" t="n">
        <v>14</v>
      </c>
      <c r="P16" s="9" t="n">
        <v>15</v>
      </c>
      <c r="Q16" s="9" t="n">
        <v>16</v>
      </c>
      <c r="R16" s="9" t="n">
        <v>17</v>
      </c>
      <c r="S16" s="9" t="n">
        <v>18</v>
      </c>
      <c r="T16" s="9" t="n">
        <v>19</v>
      </c>
      <c r="U16" s="9" t="n">
        <v>20</v>
      </c>
      <c r="V16" s="9" t="n">
        <v>21</v>
      </c>
      <c r="W16" s="9" t="n">
        <v>22</v>
      </c>
      <c r="X16" s="9" t="n">
        <v>23</v>
      </c>
      <c r="Y16" s="9" t="n">
        <v>24</v>
      </c>
      <c r="Z16" s="9" t="n">
        <v>25</v>
      </c>
      <c r="AA16" s="9" t="n">
        <v>26</v>
      </c>
      <c r="AB16" s="9" t="n">
        <v>27</v>
      </c>
      <c r="AC16" s="9" t="n">
        <v>28</v>
      </c>
      <c r="AD16" s="9">
        <f>IF(DAY(DATE($AI16,$AH16,29))=29,29,"")</f>
        <v/>
      </c>
      <c r="AE16" s="9">
        <f>IF(DAY(DATE($AI16,$AH16,30))=30,30,"")</f>
        <v/>
      </c>
      <c r="AF16" s="9">
        <f>IF(DAY(DATE($AI16,$AH16,31))=31,31,"")</f>
        <v/>
      </c>
      <c r="AH16" s="12">
        <f>IF(AH13+1=12,AH13+1,MOD(AH13+1,12))</f>
        <v/>
      </c>
      <c r="AI16" s="12">
        <f>IF(AH13&lt;AH16,AI13,AI13+1)</f>
        <v/>
      </c>
      <c r="AK16" s="8" t="n">
        <v>46245</v>
      </c>
      <c r="AL16" s="5" t="inlineStr">
        <is>
          <t>山の日</t>
        </is>
      </c>
    </row>
    <row r="17">
      <c r="A17" s="1" t="inlineStr">
        <is>
          <t>曜</t>
        </is>
      </c>
      <c r="B17" s="10">
        <f>IF(B16="","",DATE($AI16,$AH16,B16))</f>
        <v/>
      </c>
      <c r="C17" s="10">
        <f>IF(C16="","",DATE($AI16,$AH16,C16))</f>
        <v/>
      </c>
      <c r="D17" s="10">
        <f>IF(D16="","",DATE($AI16,$AH16,D16))</f>
        <v/>
      </c>
      <c r="E17" s="10">
        <f>IF(E16="","",DATE($AI16,$AH16,E16))</f>
        <v/>
      </c>
      <c r="F17" s="10">
        <f>IF(F16="","",DATE($AI16,$AH16,F16))</f>
        <v/>
      </c>
      <c r="G17" s="10">
        <f>IF(G16="","",DATE($AI16,$AH16,G16))</f>
        <v/>
      </c>
      <c r="H17" s="10">
        <f>IF(H16="","",DATE($AI16,$AH16,H16))</f>
        <v/>
      </c>
      <c r="I17" s="10">
        <f>IF(I16="","",DATE($AI16,$AH16,I16))</f>
        <v/>
      </c>
      <c r="J17" s="10">
        <f>IF(J16="","",DATE($AI16,$AH16,J16))</f>
        <v/>
      </c>
      <c r="K17" s="10">
        <f>IF(K16="","",DATE($AI16,$AH16,K16))</f>
        <v/>
      </c>
      <c r="L17" s="10">
        <f>IF(L16="","",DATE($AI16,$AH16,L16))</f>
        <v/>
      </c>
      <c r="M17" s="10">
        <f>IF(M16="","",DATE($AI16,$AH16,M16))</f>
        <v/>
      </c>
      <c r="N17" s="10">
        <f>IF(N16="","",DATE($AI16,$AH16,N16))</f>
        <v/>
      </c>
      <c r="O17" s="10">
        <f>IF(O16="","",DATE($AI16,$AH16,O16))</f>
        <v/>
      </c>
      <c r="P17" s="10">
        <f>IF(P16="","",DATE($AI16,$AH16,P16))</f>
        <v/>
      </c>
      <c r="Q17" s="10">
        <f>IF(Q16="","",DATE($AI16,$AH16,Q16))</f>
        <v/>
      </c>
      <c r="R17" s="10">
        <f>IF(R16="","",DATE($AI16,$AH16,R16))</f>
        <v/>
      </c>
      <c r="S17" s="10">
        <f>IF(S16="","",DATE($AI16,$AH16,S16))</f>
        <v/>
      </c>
      <c r="T17" s="10">
        <f>IF(T16="","",DATE($AI16,$AH16,T16))</f>
        <v/>
      </c>
      <c r="U17" s="10">
        <f>IF(U16="","",DATE($AI16,$AH16,U16))</f>
        <v/>
      </c>
      <c r="V17" s="10">
        <f>IF(V16="","",DATE($AI16,$AH16,V16))</f>
        <v/>
      </c>
      <c r="W17" s="10">
        <f>IF(W16="","",DATE($AI16,$AH16,W16))</f>
        <v/>
      </c>
      <c r="X17" s="10">
        <f>IF(X16="","",DATE($AI16,$AH16,X16))</f>
        <v/>
      </c>
      <c r="Y17" s="10">
        <f>IF(Y16="","",DATE($AI16,$AH16,Y16))</f>
        <v/>
      </c>
      <c r="Z17" s="10">
        <f>IF(Z16="","",DATE($AI16,$AH16,Z16))</f>
        <v/>
      </c>
      <c r="AA17" s="10">
        <f>IF(AA16="","",DATE($AI16,$AH16,AA16))</f>
        <v/>
      </c>
      <c r="AB17" s="10">
        <f>IF(AB16="","",DATE($AI16,$AH16,AB16))</f>
        <v/>
      </c>
      <c r="AC17" s="10">
        <f>IF(AC16="","",DATE($AI16,$AH16,AC16))</f>
        <v/>
      </c>
      <c r="AD17" s="10">
        <f>IF(AD16="","",DATE($AI16,$AH16,AD16))</f>
        <v/>
      </c>
      <c r="AE17" s="10">
        <f>IF(AE16="","",DATE($AI16,$AH16,AE16))</f>
        <v/>
      </c>
      <c r="AF17" s="10">
        <f>IF(AF16="","",DATE($AI16,$AH16,AF16))</f>
        <v/>
      </c>
      <c r="AK17" s="8" t="n">
        <v>46286</v>
      </c>
      <c r="AL17" s="5" t="inlineStr">
        <is>
          <t>敬老の日</t>
        </is>
      </c>
    </row>
    <row r="18">
      <c r="A18" s="1" t="inlineStr">
        <is>
          <t>祝</t>
        </is>
      </c>
      <c r="B18" s="11">
        <f>IF(B16="","",IF(COUNTIF($AK$5:$AK$39,B17),VLOOKUP(B17,$AK$5:$AL$39,2,0),""))</f>
        <v/>
      </c>
      <c r="C18" s="11">
        <f>IF(C16="","",IF(COUNTIF($AK$5:$AK$39,C17),VLOOKUP(C17,$AK$5:$AL$39,2,0),""))</f>
        <v/>
      </c>
      <c r="D18" s="11">
        <f>IF(D16="","",IF(COUNTIF($AK$5:$AK$39,D17),VLOOKUP(D17,$AK$5:$AL$39,2,0),""))</f>
        <v/>
      </c>
      <c r="E18" s="11">
        <f>IF(E16="","",IF(COUNTIF($AK$5:$AK$39,E17),VLOOKUP(E17,$AK$5:$AL$39,2,0),""))</f>
        <v/>
      </c>
      <c r="F18" s="11">
        <f>IF(F16="","",IF(COUNTIF($AK$5:$AK$39,F17),VLOOKUP(F17,$AK$5:$AL$39,2,0),""))</f>
        <v/>
      </c>
      <c r="G18" s="11">
        <f>IF(G16="","",IF(COUNTIF($AK$5:$AK$39,G17),VLOOKUP(G17,$AK$5:$AL$39,2,0),""))</f>
        <v/>
      </c>
      <c r="H18" s="11">
        <f>IF(H16="","",IF(COUNTIF($AK$5:$AK$39,H17),VLOOKUP(H17,$AK$5:$AL$39,2,0),""))</f>
        <v/>
      </c>
      <c r="I18" s="11">
        <f>IF(I16="","",IF(COUNTIF($AK$5:$AK$39,I17),VLOOKUP(I17,$AK$5:$AL$39,2,0),""))</f>
        <v/>
      </c>
      <c r="J18" s="11">
        <f>IF(J16="","",IF(COUNTIF($AK$5:$AK$39,J17),VLOOKUP(J17,$AK$5:$AL$39,2,0),""))</f>
        <v/>
      </c>
      <c r="K18" s="11">
        <f>IF(K16="","",IF(COUNTIF($AK$5:$AK$39,K17),VLOOKUP(K17,$AK$5:$AL$39,2,0),""))</f>
        <v/>
      </c>
      <c r="L18" s="11">
        <f>IF(L16="","",IF(COUNTIF($AK$5:$AK$39,L17),VLOOKUP(L17,$AK$5:$AL$39,2,0),""))</f>
        <v/>
      </c>
      <c r="M18" s="11">
        <f>IF(M16="","",IF(COUNTIF($AK$5:$AK$39,M17),VLOOKUP(M17,$AK$5:$AL$39,2,0),""))</f>
        <v/>
      </c>
      <c r="N18" s="11">
        <f>IF(N16="","",IF(COUNTIF($AK$5:$AK$39,N17),VLOOKUP(N17,$AK$5:$AL$39,2,0),""))</f>
        <v/>
      </c>
      <c r="O18" s="11">
        <f>IF(O16="","",IF(COUNTIF($AK$5:$AK$39,O17),VLOOKUP(O17,$AK$5:$AL$39,2,0),""))</f>
        <v/>
      </c>
      <c r="P18" s="11">
        <f>IF(P16="","",IF(COUNTIF($AK$5:$AK$39,P17),VLOOKUP(P17,$AK$5:$AL$39,2,0),""))</f>
        <v/>
      </c>
      <c r="Q18" s="11">
        <f>IF(Q16="","",IF(COUNTIF($AK$5:$AK$39,Q17),VLOOKUP(Q17,$AK$5:$AL$39,2,0),""))</f>
        <v/>
      </c>
      <c r="R18" s="11">
        <f>IF(R16="","",IF(COUNTIF($AK$5:$AK$39,R17),VLOOKUP(R17,$AK$5:$AL$39,2,0),""))</f>
        <v/>
      </c>
      <c r="S18" s="11">
        <f>IF(S16="","",IF(COUNTIF($AK$5:$AK$39,S17),VLOOKUP(S17,$AK$5:$AL$39,2,0),""))</f>
        <v/>
      </c>
      <c r="T18" s="11">
        <f>IF(T16="","",IF(COUNTIF($AK$5:$AK$39,T17),VLOOKUP(T17,$AK$5:$AL$39,2,0),""))</f>
        <v/>
      </c>
      <c r="U18" s="11">
        <f>IF(U16="","",IF(COUNTIF($AK$5:$AK$39,U17),VLOOKUP(U17,$AK$5:$AL$39,2,0),""))</f>
        <v/>
      </c>
      <c r="V18" s="11">
        <f>IF(V16="","",IF(COUNTIF($AK$5:$AK$39,V17),VLOOKUP(V17,$AK$5:$AL$39,2,0),""))</f>
        <v/>
      </c>
      <c r="W18" s="11">
        <f>IF(W16="","",IF(COUNTIF($AK$5:$AK$39,W17),VLOOKUP(W17,$AK$5:$AL$39,2,0),""))</f>
        <v/>
      </c>
      <c r="X18" s="11">
        <f>IF(X16="","",IF(COUNTIF($AK$5:$AK$39,X17),VLOOKUP(X17,$AK$5:$AL$39,2,0),""))</f>
        <v/>
      </c>
      <c r="Y18" s="11">
        <f>IF(Y16="","",IF(COUNTIF($AK$5:$AK$39,Y17),VLOOKUP(Y17,$AK$5:$AL$39,2,0),""))</f>
        <v/>
      </c>
      <c r="Z18" s="11">
        <f>IF(Z16="","",IF(COUNTIF($AK$5:$AK$39,Z17),VLOOKUP(Z17,$AK$5:$AL$39,2,0),""))</f>
        <v/>
      </c>
      <c r="AA18" s="11">
        <f>IF(AA16="","",IF(COUNTIF($AK$5:$AK$39,AA17),VLOOKUP(AA17,$AK$5:$AL$39,2,0),""))</f>
        <v/>
      </c>
      <c r="AB18" s="11">
        <f>IF(AB16="","",IF(COUNTIF($AK$5:$AK$39,AB17),VLOOKUP(AB17,$AK$5:$AL$39,2,0),""))</f>
        <v/>
      </c>
      <c r="AC18" s="11">
        <f>IF(AC16="","",IF(COUNTIF($AK$5:$AK$39,AC17),VLOOKUP(AC17,$AK$5:$AL$39,2,0),""))</f>
        <v/>
      </c>
      <c r="AD18" s="11">
        <f>IF(AD16="","",IF(COUNTIF($AK$5:$AK$39,AD17),VLOOKUP(AD17,$AK$5:$AL$39,2,0),""))</f>
        <v/>
      </c>
      <c r="AE18" s="11">
        <f>IF(AE16="","",IF(COUNTIF($AK$5:$AK$39,AE17),VLOOKUP(AE17,$AK$5:$AL$39,2,0),""))</f>
        <v/>
      </c>
      <c r="AF18" s="11">
        <f>IF(AF16="","",IF(COUNTIF($AK$5:$AK$39,AF17),VLOOKUP(AF17,$AK$5:$AL$39,2,0),""))</f>
        <v/>
      </c>
      <c r="AK18" s="8" t="n">
        <v>46287</v>
      </c>
      <c r="AL18" s="5" t="inlineStr">
        <is>
          <t>国民の休日</t>
        </is>
      </c>
    </row>
    <row r="19">
      <c r="AK19" s="8" t="n">
        <v>46288</v>
      </c>
      <c r="AL19" s="5" t="inlineStr">
        <is>
          <t>秋分の日</t>
        </is>
      </c>
    </row>
    <row r="20">
      <c r="AK20" s="8" t="n">
        <v>46307</v>
      </c>
      <c r="AL20" s="5" t="inlineStr">
        <is>
          <t>スポーツの日</t>
        </is>
      </c>
    </row>
    <row r="21">
      <c r="AK21" s="8" t="n">
        <v>46329</v>
      </c>
      <c r="AL21" s="5" t="inlineStr">
        <is>
          <t>文化の日</t>
        </is>
      </c>
    </row>
    <row r="22">
      <c r="AK22" s="8" t="n">
        <v>46349</v>
      </c>
      <c r="AL22" s="5" t="inlineStr">
        <is>
          <t>勤労感謝の日</t>
        </is>
      </c>
    </row>
    <row r="23">
      <c r="AK23" s="8" t="n">
        <v>46388</v>
      </c>
      <c r="AL23" s="5" t="inlineStr">
        <is>
          <t>元日</t>
        </is>
      </c>
    </row>
    <row r="24">
      <c r="AK24" s="8" t="n">
        <v>46398</v>
      </c>
      <c r="AL24" s="5" t="inlineStr">
        <is>
          <t>成人の日</t>
        </is>
      </c>
    </row>
    <row r="25">
      <c r="AK25" s="8" t="n">
        <v>46429</v>
      </c>
      <c r="AL25" s="5" t="inlineStr">
        <is>
          <t>建国記念の日</t>
        </is>
      </c>
    </row>
    <row r="26">
      <c r="AK26" s="8" t="n">
        <v>46441</v>
      </c>
      <c r="AL26" s="5" t="inlineStr">
        <is>
          <t>天皇誕生日</t>
        </is>
      </c>
    </row>
  </sheetData>
  <conditionalFormatting sqref="B4:AF4">
    <cfRule type="expression" priority="1" dxfId="0" stopIfTrue="1">
      <formula>AND(B4&lt;&gt;"",COUNTIF($AK$5:$AK$39,B5)&gt;0)</formula>
    </cfRule>
    <cfRule type="expression" priority="2" dxfId="1" stopIfTrue="1">
      <formula>WEEKDAY(B5)=1</formula>
    </cfRule>
    <cfRule type="expression" priority="3" dxfId="2" stopIfTrue="1">
      <formula>WEEKDAY(B5)=7</formula>
    </cfRule>
  </conditionalFormatting>
  <conditionalFormatting sqref="B7:AF7">
    <cfRule type="expression" priority="4" dxfId="0" stopIfTrue="1">
      <formula>AND(B7&lt;&gt;"",COUNTIF($AK$5:$AK$39,B8)&gt;0)</formula>
    </cfRule>
    <cfRule type="expression" priority="5" dxfId="1" stopIfTrue="1">
      <formula>WEEKDAY(B8)=1</formula>
    </cfRule>
    <cfRule type="expression" priority="6" dxfId="2" stopIfTrue="1">
      <formula>WEEKDAY(B8)=7</formula>
    </cfRule>
  </conditionalFormatting>
  <conditionalFormatting sqref="B10:AF10">
    <cfRule type="expression" priority="7" dxfId="0" stopIfTrue="1">
      <formula>AND(B10&lt;&gt;"",COUNTIF($AK$5:$AK$39,B11)&gt;0)</formula>
    </cfRule>
    <cfRule type="expression" priority="8" dxfId="1" stopIfTrue="1">
      <formula>WEEKDAY(B11)=1</formula>
    </cfRule>
    <cfRule type="expression" priority="9" dxfId="2" stopIfTrue="1">
      <formula>WEEKDAY(B11)=7</formula>
    </cfRule>
  </conditionalFormatting>
  <conditionalFormatting sqref="B13:AF13">
    <cfRule type="expression" priority="10" dxfId="0" stopIfTrue="1">
      <formula>AND(B13&lt;&gt;"",COUNTIF($AK$5:$AK$39,B14)&gt;0)</formula>
    </cfRule>
    <cfRule type="expression" priority="11" dxfId="1" stopIfTrue="1">
      <formula>WEEKDAY(B14)=1</formula>
    </cfRule>
    <cfRule type="expression" priority="12" dxfId="2" stopIfTrue="1">
      <formula>WEEKDAY(B14)=7</formula>
    </cfRule>
  </conditionalFormatting>
  <conditionalFormatting sqref="B16:AF16">
    <cfRule type="expression" priority="13" dxfId="0" stopIfTrue="1">
      <formula>AND(B16&lt;&gt;"",COUNTIF($AK$5:$AK$39,B17)&gt;0)</formula>
    </cfRule>
    <cfRule type="expression" priority="14" dxfId="1" stopIfTrue="1">
      <formula>WEEKDAY(B17)=1</formula>
    </cfRule>
    <cfRule type="expression" priority="15" dxfId="2" stopIfTrue="1">
      <formula>WEEKDAY(B17)=7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2026-08-11T04:59:50Z</dcterms:created>
  <dcterms:modified xmlns:dcterms="http://purl.org/dc/terms/" xmlns:xsi="http://www.w3.org/2001/XMLSchema-instance" xsi:type="dcterms:W3CDTF">2026-08-11T05:30:48Z</dcterms:modified>
</cp:coreProperties>
</file>